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D:\CIBERTEC - Factor 2024 - Módulo 3\BASES DE DATOS (2349)\Proyectos de BD\"/>
    </mc:Choice>
  </mc:AlternateContent>
  <xr:revisionPtr revIDLastSave="0" documentId="13_ncr:1_{C2D553FA-404E-4C02-A6CC-BD6A4BCA2E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2XX" sheetId="3" r:id="rId1"/>
    <sheet name="RÚBRIC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3" l="1"/>
  <c r="O19" i="3"/>
  <c r="O10" i="3"/>
  <c r="P8" i="3"/>
  <c r="O8" i="3"/>
  <c r="K8" i="3"/>
  <c r="K19" i="3"/>
  <c r="O18" i="3"/>
  <c r="K18" i="3"/>
  <c r="P18" i="3" s="1"/>
  <c r="O17" i="3"/>
  <c r="K17" i="3"/>
  <c r="P17" i="3" s="1"/>
  <c r="O16" i="3"/>
  <c r="K16" i="3"/>
  <c r="O15" i="3"/>
  <c r="K15" i="3"/>
  <c r="O12" i="3"/>
  <c r="K12" i="3"/>
  <c r="O11" i="3"/>
  <c r="K11" i="3"/>
  <c r="K10" i="3"/>
  <c r="O7" i="3"/>
  <c r="K7" i="3"/>
  <c r="O6" i="3"/>
  <c r="K6" i="3"/>
  <c r="O5" i="3"/>
  <c r="K5" i="3"/>
  <c r="P16" i="3" l="1"/>
  <c r="P12" i="3"/>
  <c r="P7" i="3"/>
  <c r="P11" i="3"/>
  <c r="P10" i="3"/>
  <c r="P6" i="3"/>
  <c r="P15" i="3"/>
  <c r="P5" i="3"/>
</calcChain>
</file>

<file path=xl/sharedStrings.xml><?xml version="1.0" encoding="utf-8"?>
<sst xmlns="http://schemas.openxmlformats.org/spreadsheetml/2006/main" count="67" uniqueCount="53">
  <si>
    <t>Última clase</t>
  </si>
  <si>
    <t>Hasta el DER</t>
  </si>
  <si>
    <t>Hasta el modelo físico de datos</t>
  </si>
  <si>
    <t>Promedio de Nota1 y Nota2</t>
  </si>
  <si>
    <t>Proyecto al 100%</t>
  </si>
  <si>
    <t>Prom Nota Grupal y Nota Ind.</t>
  </si>
  <si>
    <t>Prom AP y  PF</t>
  </si>
  <si>
    <t>Grupo</t>
  </si>
  <si>
    <t>Alumnos</t>
  </si>
  <si>
    <t>Cod Alumno</t>
  </si>
  <si>
    <t>Proyecto</t>
  </si>
  <si>
    <t>OBS1</t>
  </si>
  <si>
    <t>OBS2</t>
  </si>
  <si>
    <t>OBS3</t>
  </si>
  <si>
    <t>NOTA 1</t>
  </si>
  <si>
    <t>NOTA 2</t>
  </si>
  <si>
    <t>Promedio Parcial - AP</t>
  </si>
  <si>
    <t>N. GRUPAL</t>
  </si>
  <si>
    <t>N. INDIVIDUAL</t>
  </si>
  <si>
    <t>Promedio Final - PF</t>
  </si>
  <si>
    <t>SP</t>
  </si>
  <si>
    <t>Desarrolla todo lo solicitado con muchos errores e inconsistencias.</t>
  </si>
  <si>
    <t>MER y Modelo físico</t>
  </si>
  <si>
    <t>Informe y el modelo conceptual DER</t>
  </si>
  <si>
    <t>Proyecto al 80%</t>
  </si>
  <si>
    <t>Proyecto al 50%</t>
  </si>
  <si>
    <t>Desempeño del estudiante</t>
  </si>
  <si>
    <t>Nota 20</t>
  </si>
  <si>
    <t>Nota 18</t>
  </si>
  <si>
    <t>Nota 15</t>
  </si>
  <si>
    <t>Nota 13</t>
  </si>
  <si>
    <t>Nota 08</t>
  </si>
  <si>
    <t>Nota 00</t>
  </si>
  <si>
    <r>
      <t xml:space="preserve">El estudiante demuestra conocimiento, destreza y rapidez para responder al requerimiento solicitado mediante uso del lenguaje universal de base de datos SQL, </t>
    </r>
    <r>
      <rPr>
        <b/>
        <sz val="12"/>
        <color theme="1"/>
        <rFont val="Aptos Narrow"/>
        <family val="2"/>
        <scheme val="minor"/>
      </rPr>
      <t>su script es correcto y ejecuta de manera lógica</t>
    </r>
    <r>
      <rPr>
        <sz val="12"/>
        <color theme="1"/>
        <rFont val="Aptos Narrow"/>
        <family val="2"/>
        <scheme val="minor"/>
      </rPr>
      <t>.</t>
    </r>
  </si>
  <si>
    <r>
      <t xml:space="preserve">El estudiante demuestra conocimiento para responder al requerimiento solicitado mediante uso del lenguaje universal de base de datos SQL, </t>
    </r>
    <r>
      <rPr>
        <b/>
        <sz val="11"/>
        <color theme="1"/>
        <rFont val="Aptos Narrow"/>
        <family val="2"/>
        <scheme val="minor"/>
      </rPr>
      <t>su script ejecuta de manera lógica, posee al menos un error.</t>
    </r>
  </si>
  <si>
    <r>
      <t xml:space="preserve">El estudiante demuestra conocimiento para responder al requerimiento solicitado mediante uso del lenguaje universal de base de datos SQL, </t>
    </r>
    <r>
      <rPr>
        <b/>
        <sz val="11"/>
        <color theme="1"/>
        <rFont val="Aptos Narrow"/>
        <family val="2"/>
        <scheme val="minor"/>
      </rPr>
      <t>su script posee al menos dos errores.</t>
    </r>
  </si>
  <si>
    <r>
      <t xml:space="preserve">El estudiante demuestra conocimiento básico para responder al requerimiento solicitado mediante uso del lenguaje universal de base de datos SQL, </t>
    </r>
    <r>
      <rPr>
        <b/>
        <sz val="11"/>
        <color theme="1"/>
        <rFont val="Aptos Narrow"/>
        <family val="2"/>
        <scheme val="minor"/>
      </rPr>
      <t>su script posee algunos errores.</t>
    </r>
  </si>
  <si>
    <r>
      <t xml:space="preserve">El estudiante demuestra poco conocimiento para responder al requerimiento solicitado mediante uso del lenguaje universal de base de datos SQL, </t>
    </r>
    <r>
      <rPr>
        <b/>
        <sz val="11"/>
        <color theme="1"/>
        <rFont val="Aptos Narrow"/>
        <family val="2"/>
        <scheme val="minor"/>
      </rPr>
      <t>su script posee varios errores.</t>
    </r>
  </si>
  <si>
    <t>El estudiante no desarrolla lo solicitado o no ha asistido a la evaluación.</t>
  </si>
  <si>
    <r>
      <t xml:space="preserve">Obtiene la base de datos físcia en SQL Server, las tablas poseen pocos registros, implementa 10 consultas SELECT con mínimo: un JOIN y una condición. Implementa 10 procedimientos almacenados con al menos un parámetro e implementa 5 vistas. </t>
    </r>
    <r>
      <rPr>
        <b/>
        <sz val="11"/>
        <color theme="1"/>
        <rFont val="Aptos Narrow"/>
        <family val="2"/>
        <scheme val="minor"/>
      </rPr>
      <t>Las implementaciones poseen muchos errores lógicos</t>
    </r>
    <r>
      <rPr>
        <sz val="11"/>
        <color theme="1"/>
        <rFont val="Aptos Narrow"/>
        <family val="2"/>
        <scheme val="minor"/>
      </rPr>
      <t>. O las implementaciones no están completadas.</t>
    </r>
  </si>
  <si>
    <r>
      <t xml:space="preserve">Obtiene la base de datos físcia en SQL Server, las tablas poseen pocos registros, implementa 10 consultas SELECT con mínimo: un JOIN y una condición. Implementa 10 procedimientos almacenados con al menos un parámetro e implementa 5 vistas. </t>
    </r>
    <r>
      <rPr>
        <b/>
        <sz val="11"/>
        <color theme="1"/>
        <rFont val="Aptos Narrow"/>
        <family val="2"/>
        <scheme val="minor"/>
      </rPr>
      <t>Las implementaciones poseen algunos errores lógicos mínimos</t>
    </r>
    <r>
      <rPr>
        <sz val="11"/>
        <color theme="1"/>
        <rFont val="Aptos Narrow"/>
        <family val="2"/>
        <scheme val="minor"/>
      </rPr>
      <t>. O la mayoría de las implementaciones están completadas.</t>
    </r>
  </si>
  <si>
    <r>
      <t xml:space="preserve">Desarrolla todo lo solicitado con </t>
    </r>
    <r>
      <rPr>
        <b/>
        <sz val="11"/>
        <color theme="1"/>
        <rFont val="Aptos Narrow"/>
        <family val="2"/>
        <scheme val="minor"/>
      </rPr>
      <t>muchos errores e inconsistencias</t>
    </r>
    <r>
      <rPr>
        <sz val="11"/>
        <color theme="1"/>
        <rFont val="Aptos Narrow"/>
        <family val="2"/>
        <scheme val="minor"/>
      </rPr>
      <t>. O el desarrollo es muy incompleto.</t>
    </r>
  </si>
  <si>
    <r>
      <t xml:space="preserve">Obtiene la base de datos físcia en SQL Server, las tablas poseen muchos registros, implementa 10 consultas SELECT con mínimo: un JOIN y una condición. Implementa 10 procedimientos almacenados con al menos un parámetro e implementa 5 vistas. </t>
    </r>
    <r>
      <rPr>
        <b/>
        <sz val="11"/>
        <color theme="1"/>
        <rFont val="Aptos Narrow"/>
        <family val="2"/>
        <scheme val="minor"/>
      </rPr>
      <t>Toda implementación completada se sustenta en un enunciado y demuestra la ejecución de manera correcta.</t>
    </r>
  </si>
  <si>
    <r>
      <t xml:space="preserve">Aplica la estructura correcta del informe, el proyecto aplicado posee la lógica del negocio y </t>
    </r>
    <r>
      <rPr>
        <b/>
        <sz val="11"/>
        <color theme="1"/>
        <rFont val="Aptos Narrow"/>
        <family val="2"/>
        <scheme val="minor"/>
      </rPr>
      <t>el DER presenta un correcto diseño conceptual,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identifica las entidades, atributos y llaves primarias.</t>
    </r>
  </si>
  <si>
    <r>
      <t xml:space="preserve">Aplica la estructura correcta del informe, el proyecto aplicado posee la lógica del negocio y </t>
    </r>
    <r>
      <rPr>
        <b/>
        <sz val="11"/>
        <color theme="1"/>
        <rFont val="Aptos Narrow"/>
        <family val="2"/>
        <scheme val="minor"/>
      </rPr>
      <t>el DER presenta un aceptable diseño conceptual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identifica la mayoría de entidades, atributos y llaves primarias.</t>
    </r>
  </si>
  <si>
    <r>
      <t xml:space="preserve">Aplica la estructura del informe, el proyecto aplicado posee la lógica del negocio y </t>
    </r>
    <r>
      <rPr>
        <b/>
        <sz val="11"/>
        <color theme="1"/>
        <rFont val="Aptos Narrow"/>
        <family val="2"/>
        <scheme val="minor"/>
      </rPr>
      <t>el DER tiene un diseño conceptual con algunas inconsistencias, identifica la mayoría de entidades, atributos y llaves primarias.</t>
    </r>
  </si>
  <si>
    <r>
      <t xml:space="preserve">Las formas normales presentan un correcto diseño de implementación. </t>
    </r>
    <r>
      <rPr>
        <b/>
        <sz val="11"/>
        <color theme="1"/>
        <rFont val="Aptos Narrow"/>
        <family val="2"/>
        <scheme val="minor"/>
      </rPr>
      <t>Presenta correctamente la integración final en un modelo MER y/o modelo Físico de datos.</t>
    </r>
  </si>
  <si>
    <r>
      <t xml:space="preserve">Las formas normales presentan con al menos dos errores en el  diseño. </t>
    </r>
    <r>
      <rPr>
        <b/>
        <sz val="11"/>
        <color theme="1"/>
        <rFont val="Aptos Narrow"/>
        <family val="2"/>
        <scheme val="minor"/>
      </rPr>
      <t>Presenta aceptablemente la integración final en un modelo MER y/o modelo Físico de datos.</t>
    </r>
  </si>
  <si>
    <r>
      <t xml:space="preserve">Presentan las formas normales y la integración final en un modelo MER y/o modelo Físico de datos. </t>
    </r>
    <r>
      <rPr>
        <b/>
        <sz val="11"/>
        <color theme="1"/>
        <rFont val="Aptos Narrow"/>
        <family val="2"/>
        <scheme val="minor"/>
      </rPr>
      <t>Posee más de dos errores.</t>
    </r>
  </si>
  <si>
    <t>Base de Datos en SQL Server + gestión de datos</t>
  </si>
  <si>
    <t>Nota 16</t>
  </si>
  <si>
    <t>Nota 14</t>
  </si>
  <si>
    <t>PROYECTOS DE BASE DE DATOS - T2XX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</si>
</sst>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9" tint="0.79998168889431442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8" xfId="0" applyFont="1" applyFill="1" applyBorder="1"/>
    <xf numFmtId="0" fontId="1" fillId="2" borderId="9" xfId="0" applyFont="1" applyFill="1" applyBorder="1"/>
    <xf numFmtId="0" fontId="3" fillId="0" borderId="0" xfId="0" applyFont="1"/>
    <xf numFmtId="0" fontId="0" fillId="0" borderId="10" xfId="0" applyBorder="1" applyAlignment="1">
      <alignment vertical="center" wrapText="1"/>
    </xf>
    <xf numFmtId="0" fontId="5" fillId="5" borderId="10" xfId="0" applyFont="1" applyFill="1" applyBorder="1"/>
    <xf numFmtId="0" fontId="0" fillId="6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6" fillId="0" borderId="10" xfId="0" applyFont="1" applyBorder="1" applyAlignment="1">
      <alignment vertical="center" wrapText="1"/>
    </xf>
    <xf numFmtId="0" fontId="5" fillId="7" borderId="10" xfId="0" applyFont="1" applyFill="1" applyBorder="1"/>
    <xf numFmtId="0" fontId="5" fillId="10" borderId="10" xfId="0" applyFont="1" applyFill="1" applyBorder="1"/>
    <xf numFmtId="0" fontId="5" fillId="11" borderId="10" xfId="0" applyFont="1" applyFill="1" applyBorder="1"/>
    <xf numFmtId="0" fontId="5" fillId="12" borderId="10" xfId="0" applyFont="1" applyFill="1" applyBorder="1"/>
    <xf numFmtId="0" fontId="7" fillId="8" borderId="10" xfId="0" applyFont="1" applyFill="1" applyBorder="1"/>
    <xf numFmtId="0" fontId="7" fillId="9" borderId="10" xfId="0" applyFont="1" applyFill="1" applyBorder="1"/>
    <xf numFmtId="0" fontId="5" fillId="13" borderId="10" xfId="0" applyFont="1" applyFill="1" applyBorder="1"/>
    <xf numFmtId="0" fontId="5" fillId="14" borderId="10" xfId="0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/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B1D1-0692-4C36-A303-9048FEA676C5}">
  <dimension ref="A2:P20"/>
  <sheetViews>
    <sheetView tabSelected="1" workbookViewId="0">
      <selection activeCell="E5" sqref="E5:E8"/>
    </sheetView>
  </sheetViews>
  <sheetFormatPr baseColWidth="10" defaultColWidth="8.88671875" defaultRowHeight="14.4" x14ac:dyDescent="0.3"/>
  <cols>
    <col min="1" max="1" width="3.5546875" customWidth="1"/>
    <col min="2" max="2" width="6.33203125" style="6" customWidth="1"/>
    <col min="3" max="3" width="37.33203125" customWidth="1"/>
    <col min="4" max="4" width="9.6640625" customWidth="1"/>
    <col min="5" max="5" width="15.5546875" customWidth="1"/>
    <col min="6" max="6" width="2.5546875" customWidth="1"/>
    <col min="7" max="7" width="2.6640625" customWidth="1"/>
    <col min="8" max="8" width="3" customWidth="1"/>
    <col min="9" max="9" width="15.33203125" customWidth="1"/>
    <col min="10" max="10" width="25.88671875" customWidth="1"/>
    <col min="11" max="11" width="22.88671875" customWidth="1"/>
    <col min="12" max="12" width="3.44140625" customWidth="1"/>
    <col min="13" max="13" width="12.77734375" customWidth="1"/>
    <col min="14" max="14" width="14" customWidth="1"/>
    <col min="15" max="15" width="17.6640625" customWidth="1"/>
    <col min="16" max="16" width="11.77734375" style="12" customWidth="1"/>
  </cols>
  <sheetData>
    <row r="2" spans="1:16" x14ac:dyDescent="0.3">
      <c r="C2" t="s">
        <v>52</v>
      </c>
      <c r="I2" t="s">
        <v>25</v>
      </c>
      <c r="J2" t="s">
        <v>24</v>
      </c>
      <c r="M2" t="s">
        <v>0</v>
      </c>
    </row>
    <row r="3" spans="1:16" x14ac:dyDescent="0.3">
      <c r="I3" t="s">
        <v>1</v>
      </c>
      <c r="J3" t="s">
        <v>2</v>
      </c>
      <c r="K3" t="s">
        <v>3</v>
      </c>
      <c r="M3" t="s">
        <v>4</v>
      </c>
      <c r="O3" t="s">
        <v>5</v>
      </c>
      <c r="P3" s="12" t="s">
        <v>6</v>
      </c>
    </row>
    <row r="4" spans="1:16" x14ac:dyDescent="0.3">
      <c r="A4" s="3" t="s">
        <v>7</v>
      </c>
      <c r="B4" s="7"/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1"/>
      <c r="M4" s="10" t="s">
        <v>17</v>
      </c>
      <c r="N4" s="11" t="s">
        <v>18</v>
      </c>
      <c r="O4" s="11" t="s">
        <v>19</v>
      </c>
      <c r="P4" s="17" t="s">
        <v>20</v>
      </c>
    </row>
    <row r="5" spans="1:16" x14ac:dyDescent="0.3">
      <c r="A5" s="39">
        <v>1</v>
      </c>
      <c r="B5" s="8">
        <v>1</v>
      </c>
      <c r="C5" s="2"/>
      <c r="D5" s="2"/>
      <c r="E5" s="36"/>
      <c r="F5" s="27"/>
      <c r="G5" s="27"/>
      <c r="H5" s="27"/>
      <c r="I5" s="8">
        <v>0</v>
      </c>
      <c r="J5" s="8">
        <v>0</v>
      </c>
      <c r="K5" s="15">
        <f>AVERAGE(I5:J5)</f>
        <v>0</v>
      </c>
      <c r="M5" s="8">
        <v>0</v>
      </c>
      <c r="N5" s="8">
        <v>0</v>
      </c>
      <c r="O5" s="15">
        <f>AVERAGE(M5:N5)</f>
        <v>0</v>
      </c>
      <c r="P5" s="16">
        <f>AVERAGE(K5,O5)</f>
        <v>0</v>
      </c>
    </row>
    <row r="6" spans="1:16" x14ac:dyDescent="0.3">
      <c r="A6" s="39"/>
      <c r="B6" s="8">
        <v>2</v>
      </c>
      <c r="C6" s="2"/>
      <c r="D6" s="2"/>
      <c r="E6" s="37"/>
      <c r="F6" s="28"/>
      <c r="G6" s="28"/>
      <c r="H6" s="28"/>
      <c r="I6" s="8">
        <v>0</v>
      </c>
      <c r="J6" s="8">
        <v>0</v>
      </c>
      <c r="K6" s="15">
        <f t="shared" ref="K6:K8" si="0">AVERAGE(I6:J6)</f>
        <v>0</v>
      </c>
      <c r="M6" s="8">
        <v>0</v>
      </c>
      <c r="N6" s="8">
        <v>0</v>
      </c>
      <c r="O6" s="15">
        <f t="shared" ref="O6" si="1">AVERAGE(M6:N6)</f>
        <v>0</v>
      </c>
      <c r="P6" s="16">
        <f t="shared" ref="P6:P8" si="2">AVERAGE(K6,O6)</f>
        <v>0</v>
      </c>
    </row>
    <row r="7" spans="1:16" x14ac:dyDescent="0.3">
      <c r="A7" s="39"/>
      <c r="B7" s="8">
        <v>3</v>
      </c>
      <c r="C7" s="2"/>
      <c r="D7" s="2"/>
      <c r="E7" s="37"/>
      <c r="F7" s="28"/>
      <c r="G7" s="28"/>
      <c r="H7" s="28"/>
      <c r="I7" s="8">
        <v>0</v>
      </c>
      <c r="J7" s="8">
        <v>0</v>
      </c>
      <c r="K7" s="15">
        <f t="shared" si="0"/>
        <v>0</v>
      </c>
      <c r="M7" s="8">
        <v>0</v>
      </c>
      <c r="N7" s="8">
        <v>0</v>
      </c>
      <c r="O7" s="15">
        <f>AVERAGE(M7:N7)</f>
        <v>0</v>
      </c>
      <c r="P7" s="16">
        <f t="shared" si="2"/>
        <v>0</v>
      </c>
    </row>
    <row r="8" spans="1:16" x14ac:dyDescent="0.3">
      <c r="A8" s="39"/>
      <c r="B8" s="8"/>
      <c r="C8" s="2"/>
      <c r="D8" s="2"/>
      <c r="E8" s="38"/>
      <c r="F8" s="29"/>
      <c r="G8" s="29"/>
      <c r="H8" s="29"/>
      <c r="I8" s="8">
        <v>0</v>
      </c>
      <c r="J8" s="8">
        <v>0</v>
      </c>
      <c r="K8" s="15">
        <f t="shared" si="0"/>
        <v>0</v>
      </c>
      <c r="M8" s="8">
        <v>0</v>
      </c>
      <c r="N8" s="8">
        <v>0</v>
      </c>
      <c r="O8" s="15">
        <f>AVERAGE(M8:N8)</f>
        <v>0</v>
      </c>
      <c r="P8" s="16">
        <f t="shared" si="2"/>
        <v>0</v>
      </c>
    </row>
    <row r="9" spans="1:16" x14ac:dyDescent="0.3">
      <c r="A9" s="40"/>
      <c r="I9" s="6"/>
      <c r="J9" s="6"/>
      <c r="K9" s="6"/>
    </row>
    <row r="10" spans="1:16" x14ac:dyDescent="0.3">
      <c r="A10" s="39">
        <v>2</v>
      </c>
      <c r="B10" s="8">
        <v>1</v>
      </c>
      <c r="C10" s="2"/>
      <c r="D10" s="2"/>
      <c r="E10" s="33"/>
      <c r="F10" s="27"/>
      <c r="G10" s="27"/>
      <c r="H10" s="27"/>
      <c r="I10" s="8">
        <v>0</v>
      </c>
      <c r="J10" s="8">
        <v>0</v>
      </c>
      <c r="K10" s="15">
        <f>AVERAGE(I10:J10)</f>
        <v>0</v>
      </c>
      <c r="M10" s="8">
        <v>0</v>
      </c>
      <c r="N10" s="8">
        <v>0</v>
      </c>
      <c r="O10" s="15">
        <f>AVERAGE(M10:N10)</f>
        <v>0</v>
      </c>
      <c r="P10" s="16">
        <f>AVERAGE(K10,O10)</f>
        <v>0</v>
      </c>
    </row>
    <row r="11" spans="1:16" x14ac:dyDescent="0.3">
      <c r="A11" s="39"/>
      <c r="B11" s="8">
        <v>2</v>
      </c>
      <c r="C11" s="2"/>
      <c r="D11" s="2"/>
      <c r="E11" s="34"/>
      <c r="F11" s="28"/>
      <c r="G11" s="28"/>
      <c r="H11" s="28"/>
      <c r="I11" s="8">
        <v>0</v>
      </c>
      <c r="J11" s="8">
        <v>0</v>
      </c>
      <c r="K11" s="15">
        <f t="shared" ref="K11:K12" si="3">AVERAGE(I11:J11)</f>
        <v>0</v>
      </c>
      <c r="M11" s="8">
        <v>0</v>
      </c>
      <c r="N11" s="8">
        <v>0</v>
      </c>
      <c r="O11" s="15">
        <f t="shared" ref="O11" si="4">AVERAGE(M11:N11)</f>
        <v>0</v>
      </c>
      <c r="P11" s="16">
        <f t="shared" ref="P11:P12" si="5">AVERAGE(K11,O11)</f>
        <v>0</v>
      </c>
    </row>
    <row r="12" spans="1:16" x14ac:dyDescent="0.3">
      <c r="A12" s="39"/>
      <c r="B12" s="8">
        <v>3</v>
      </c>
      <c r="C12" s="2"/>
      <c r="D12" s="2"/>
      <c r="E12" s="34"/>
      <c r="F12" s="28"/>
      <c r="G12" s="28"/>
      <c r="H12" s="28"/>
      <c r="I12" s="8">
        <v>0</v>
      </c>
      <c r="J12" s="8">
        <v>0</v>
      </c>
      <c r="K12" s="15">
        <f t="shared" si="3"/>
        <v>0</v>
      </c>
      <c r="M12" s="8">
        <v>0</v>
      </c>
      <c r="N12" s="8">
        <v>0</v>
      </c>
      <c r="O12" s="15">
        <f>AVERAGE(M12:N12)</f>
        <v>0</v>
      </c>
      <c r="P12" s="16">
        <f t="shared" si="5"/>
        <v>0</v>
      </c>
    </row>
    <row r="13" spans="1:16" x14ac:dyDescent="0.3">
      <c r="A13" s="39"/>
      <c r="B13" s="8"/>
      <c r="C13" s="2"/>
      <c r="D13" s="2"/>
      <c r="E13" s="35"/>
      <c r="F13" s="29"/>
      <c r="G13" s="29"/>
      <c r="H13" s="29"/>
      <c r="I13" s="8">
        <v>0</v>
      </c>
      <c r="J13" s="8">
        <v>0</v>
      </c>
      <c r="K13" s="15"/>
      <c r="M13" s="8">
        <v>0</v>
      </c>
      <c r="N13" s="8">
        <v>0</v>
      </c>
      <c r="O13" s="15"/>
      <c r="P13" s="16"/>
    </row>
    <row r="14" spans="1:16" x14ac:dyDescent="0.3">
      <c r="A14" s="40"/>
    </row>
    <row r="15" spans="1:16" x14ac:dyDescent="0.3">
      <c r="A15" s="41">
        <v>3</v>
      </c>
      <c r="B15" s="8">
        <v>1</v>
      </c>
      <c r="C15" s="2"/>
      <c r="D15" s="2"/>
      <c r="E15" s="30"/>
      <c r="F15" s="27"/>
      <c r="G15" s="27"/>
      <c r="H15" s="27"/>
      <c r="I15" s="8">
        <v>0</v>
      </c>
      <c r="J15" s="8">
        <v>0</v>
      </c>
      <c r="K15" s="15">
        <f>AVERAGE(I15:J15)</f>
        <v>0</v>
      </c>
      <c r="M15" s="8">
        <v>0</v>
      </c>
      <c r="N15" s="8">
        <v>0</v>
      </c>
      <c r="O15" s="15">
        <f>AVERAGE(M15:N15)</f>
        <v>0</v>
      </c>
      <c r="P15" s="16">
        <f>AVERAGE(K15,O15)</f>
        <v>0</v>
      </c>
    </row>
    <row r="16" spans="1:16" x14ac:dyDescent="0.3">
      <c r="A16" s="42"/>
      <c r="B16" s="8">
        <v>2</v>
      </c>
      <c r="C16" s="2"/>
      <c r="D16" s="2"/>
      <c r="E16" s="31"/>
      <c r="F16" s="28"/>
      <c r="G16" s="28"/>
      <c r="H16" s="28"/>
      <c r="I16" s="8">
        <v>0</v>
      </c>
      <c r="J16" s="8">
        <v>0</v>
      </c>
      <c r="K16" s="15">
        <f t="shared" ref="K16:K19" si="6">AVERAGE(I16:J16)</f>
        <v>0</v>
      </c>
      <c r="M16" s="8">
        <v>0</v>
      </c>
      <c r="N16" s="8">
        <v>0</v>
      </c>
      <c r="O16" s="15">
        <f t="shared" ref="O16" si="7">AVERAGE(M16:N16)</f>
        <v>0</v>
      </c>
      <c r="P16" s="16">
        <f t="shared" ref="P16:P19" si="8">AVERAGE(K16,O16)</f>
        <v>0</v>
      </c>
    </row>
    <row r="17" spans="1:16" x14ac:dyDescent="0.3">
      <c r="A17" s="42"/>
      <c r="B17" s="8">
        <v>3</v>
      </c>
      <c r="C17" s="2"/>
      <c r="D17" s="2"/>
      <c r="E17" s="31"/>
      <c r="F17" s="28"/>
      <c r="G17" s="28"/>
      <c r="H17" s="28"/>
      <c r="I17" s="8">
        <v>0</v>
      </c>
      <c r="J17" s="8">
        <v>0</v>
      </c>
      <c r="K17" s="15">
        <f t="shared" si="6"/>
        <v>0</v>
      </c>
      <c r="M17" s="8">
        <v>0</v>
      </c>
      <c r="N17" s="8">
        <v>0</v>
      </c>
      <c r="O17" s="15">
        <f>AVERAGE(M17:N17)</f>
        <v>0</v>
      </c>
      <c r="P17" s="16">
        <f t="shared" si="8"/>
        <v>0</v>
      </c>
    </row>
    <row r="18" spans="1:16" x14ac:dyDescent="0.3">
      <c r="A18" s="42"/>
      <c r="B18" s="4">
        <v>4</v>
      </c>
      <c r="C18" s="5"/>
      <c r="D18" s="5"/>
      <c r="E18" s="32"/>
      <c r="F18" s="28"/>
      <c r="G18" s="28"/>
      <c r="H18" s="28"/>
      <c r="I18" s="8">
        <v>0</v>
      </c>
      <c r="J18" s="8">
        <v>0</v>
      </c>
      <c r="K18" s="15">
        <f t="shared" si="6"/>
        <v>0</v>
      </c>
      <c r="M18" s="8">
        <v>0</v>
      </c>
      <c r="N18" s="8">
        <v>0</v>
      </c>
      <c r="O18" s="15">
        <f t="shared" ref="O18:O19" si="9">AVERAGE(M18:N18)</f>
        <v>0</v>
      </c>
      <c r="P18" s="16">
        <f t="shared" si="8"/>
        <v>0</v>
      </c>
    </row>
    <row r="19" spans="1:16" x14ac:dyDescent="0.3">
      <c r="A19" s="42"/>
      <c r="B19" s="9">
        <v>5</v>
      </c>
      <c r="C19" s="2"/>
      <c r="D19" s="2"/>
      <c r="E19" s="2"/>
      <c r="F19" s="2"/>
      <c r="G19" s="2"/>
      <c r="H19" s="2"/>
      <c r="I19" s="8">
        <v>0</v>
      </c>
      <c r="J19" s="8">
        <v>0</v>
      </c>
      <c r="K19" s="15">
        <f t="shared" si="6"/>
        <v>0</v>
      </c>
      <c r="M19" s="8">
        <v>0</v>
      </c>
      <c r="N19" s="8">
        <v>0</v>
      </c>
      <c r="O19" s="15">
        <f t="shared" si="9"/>
        <v>0</v>
      </c>
      <c r="P19" s="16">
        <f t="shared" si="8"/>
        <v>0</v>
      </c>
    </row>
    <row r="20" spans="1:16" x14ac:dyDescent="0.3">
      <c r="A20" s="40"/>
    </row>
  </sheetData>
  <mergeCells count="15">
    <mergeCell ref="A15:A19"/>
    <mergeCell ref="E15:E18"/>
    <mergeCell ref="F15:F18"/>
    <mergeCell ref="G15:G18"/>
    <mergeCell ref="H15:H18"/>
    <mergeCell ref="A5:A8"/>
    <mergeCell ref="E5:E8"/>
    <mergeCell ref="F5:F8"/>
    <mergeCell ref="G5:G8"/>
    <mergeCell ref="H5:H8"/>
    <mergeCell ref="A10:A13"/>
    <mergeCell ref="E10:E13"/>
    <mergeCell ref="F10:F13"/>
    <mergeCell ref="G10:G13"/>
    <mergeCell ref="H10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CD9D-6023-4981-BA9E-277E082352B5}">
  <dimension ref="C1:H19"/>
  <sheetViews>
    <sheetView workbookViewId="0">
      <selection activeCell="D8" sqref="D8"/>
    </sheetView>
  </sheetViews>
  <sheetFormatPr baseColWidth="10" defaultRowHeight="14.4" x14ac:dyDescent="0.3"/>
  <cols>
    <col min="1" max="1" width="3.88671875" customWidth="1"/>
    <col min="2" max="2" width="4" customWidth="1"/>
    <col min="3" max="3" width="40" customWidth="1"/>
    <col min="4" max="4" width="36.109375" customWidth="1"/>
    <col min="5" max="5" width="37.88671875" customWidth="1"/>
    <col min="6" max="6" width="32.77734375" customWidth="1"/>
    <col min="7" max="7" width="24.6640625" customWidth="1"/>
    <col min="8" max="8" width="13.44140625" customWidth="1"/>
  </cols>
  <sheetData>
    <row r="1" spans="3:6" x14ac:dyDescent="0.3">
      <c r="C1" s="12" t="s">
        <v>23</v>
      </c>
      <c r="D1" t="s">
        <v>25</v>
      </c>
    </row>
    <row r="3" spans="3:6" ht="15.6" x14ac:dyDescent="0.3">
      <c r="C3" s="14" t="s">
        <v>27</v>
      </c>
      <c r="D3" s="14" t="s">
        <v>50</v>
      </c>
      <c r="E3" s="14" t="s">
        <v>51</v>
      </c>
      <c r="F3" s="14" t="s">
        <v>31</v>
      </c>
    </row>
    <row r="4" spans="3:6" ht="72" x14ac:dyDescent="0.3">
      <c r="C4" s="13" t="s">
        <v>43</v>
      </c>
      <c r="D4" s="13" t="s">
        <v>44</v>
      </c>
      <c r="E4" s="13" t="s">
        <v>45</v>
      </c>
      <c r="F4" s="13" t="s">
        <v>21</v>
      </c>
    </row>
    <row r="6" spans="3:6" x14ac:dyDescent="0.3">
      <c r="C6" s="12" t="s">
        <v>22</v>
      </c>
      <c r="D6" t="s">
        <v>24</v>
      </c>
    </row>
    <row r="8" spans="3:6" ht="15.6" x14ac:dyDescent="0.3">
      <c r="C8" s="25" t="s">
        <v>27</v>
      </c>
      <c r="D8" s="25" t="s">
        <v>50</v>
      </c>
      <c r="E8" s="25" t="s">
        <v>51</v>
      </c>
      <c r="F8" s="25" t="s">
        <v>31</v>
      </c>
    </row>
    <row r="9" spans="3:6" ht="57.6" x14ac:dyDescent="0.3">
      <c r="C9" s="13" t="s">
        <v>46</v>
      </c>
      <c r="D9" s="13" t="s">
        <v>47</v>
      </c>
      <c r="E9" s="13" t="s">
        <v>48</v>
      </c>
      <c r="F9" s="13" t="s">
        <v>21</v>
      </c>
    </row>
    <row r="11" spans="3:6" x14ac:dyDescent="0.3">
      <c r="C11" s="12" t="s">
        <v>49</v>
      </c>
      <c r="D11" t="s">
        <v>4</v>
      </c>
    </row>
    <row r="13" spans="3:6" ht="15.6" x14ac:dyDescent="0.3">
      <c r="C13" s="26" t="s">
        <v>27</v>
      </c>
      <c r="D13" s="26" t="s">
        <v>50</v>
      </c>
      <c r="E13" s="26" t="s">
        <v>51</v>
      </c>
      <c r="F13" s="26" t="s">
        <v>31</v>
      </c>
    </row>
    <row r="14" spans="3:6" ht="144" x14ac:dyDescent="0.3">
      <c r="C14" s="13" t="s">
        <v>42</v>
      </c>
      <c r="D14" s="13" t="s">
        <v>40</v>
      </c>
      <c r="E14" s="13" t="s">
        <v>39</v>
      </c>
      <c r="F14" s="13" t="s">
        <v>41</v>
      </c>
    </row>
    <row r="16" spans="3:6" x14ac:dyDescent="0.3">
      <c r="C16" s="12" t="s">
        <v>26</v>
      </c>
    </row>
    <row r="18" spans="3:8" ht="15.6" x14ac:dyDescent="0.3">
      <c r="C18" s="23" t="s">
        <v>27</v>
      </c>
      <c r="D18" s="24" t="s">
        <v>28</v>
      </c>
      <c r="E18" s="19" t="s">
        <v>29</v>
      </c>
      <c r="F18" s="20" t="s">
        <v>30</v>
      </c>
      <c r="G18" s="21" t="s">
        <v>31</v>
      </c>
      <c r="H18" s="22" t="s">
        <v>32</v>
      </c>
    </row>
    <row r="19" spans="3:8" ht="100.8" x14ac:dyDescent="0.3">
      <c r="C19" s="18" t="s">
        <v>33</v>
      </c>
      <c r="D19" s="13" t="s">
        <v>34</v>
      </c>
      <c r="E19" s="13" t="s">
        <v>35</v>
      </c>
      <c r="F19" s="13" t="s">
        <v>36</v>
      </c>
      <c r="G19" s="13" t="s">
        <v>37</v>
      </c>
      <c r="H19" s="13" t="s">
        <v>38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T2XX</vt:lpstr>
      <vt:lpstr>RÚBRICA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Jaime Factor Lopez Lopez</cp:lastModifiedBy>
  <cp:revision/>
  <dcterms:created xsi:type="dcterms:W3CDTF">2024-04-04T17:10:37Z</dcterms:created>
  <dcterms:modified xsi:type="dcterms:W3CDTF">2024-07-14T16:38:59Z</dcterms:modified>
  <cp:category/>
  <cp:contentStatus/>
</cp:coreProperties>
</file>